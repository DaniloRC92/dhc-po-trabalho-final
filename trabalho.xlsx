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01527\dev\pesquisa-operacional-trabalho-final\"/>
    </mc:Choice>
  </mc:AlternateContent>
  <xr:revisionPtr revIDLastSave="0" documentId="13_ncr:1_{71DD8AD2-B99C-44CD-AE71-868105C608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struções" sheetId="9" r:id="rId1"/>
    <sheet name="Dados" sheetId="1" r:id="rId2"/>
    <sheet name="Modelagem" sheetId="2" r:id="rId3"/>
    <sheet name="Relatório de Respostas - Caso A" sheetId="4" r:id="rId4"/>
    <sheet name="Relatório de Respostas - Caso B" sheetId="8" r:id="rId5"/>
  </sheets>
  <definedNames>
    <definedName name="solver_adj" localSheetId="2" hidden="1">Modelagem!$D$5:$D$14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Modelagem!$B$17</definedName>
    <definedName name="solver_lhs2" localSheetId="2" hidden="1">Modelagem!$D$5:$D$14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Modelagem!$B$16</definedName>
    <definedName name="solver_pre" localSheetId="2" hidden="1">0.000001</definedName>
    <definedName name="solver_rbv" localSheetId="2" hidden="1">2</definedName>
    <definedName name="solver_rel1" localSheetId="2" hidden="1">1</definedName>
    <definedName name="solver_rel2" localSheetId="2" hidden="1">5</definedName>
    <definedName name="solver_rhs1" localSheetId="2" hidden="1">Modelagem!$B$1</definedName>
    <definedName name="solver_rhs2" localSheetId="2" hidden="1">"binário"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2" l="1"/>
  <c r="F6" i="2"/>
  <c r="F7" i="2"/>
  <c r="F8" i="2"/>
  <c r="F9" i="2"/>
  <c r="F10" i="2"/>
  <c r="F11" i="2"/>
  <c r="F12" i="2"/>
  <c r="F13" i="2"/>
  <c r="F14" i="2"/>
  <c r="F5" i="2"/>
  <c r="E6" i="2"/>
  <c r="E7" i="2"/>
  <c r="E8" i="2"/>
  <c r="E9" i="2"/>
  <c r="E10" i="2"/>
  <c r="E11" i="2"/>
  <c r="E12" i="2"/>
  <c r="E13" i="2"/>
  <c r="E14" i="2"/>
  <c r="E5" i="2"/>
  <c r="B19" i="2"/>
  <c r="B17" i="2" l="1"/>
</calcChain>
</file>

<file path=xl/sharedStrings.xml><?xml version="1.0" encoding="utf-8"?>
<sst xmlns="http://schemas.openxmlformats.org/spreadsheetml/2006/main" count="172" uniqueCount="84">
  <si>
    <t>Item</t>
  </si>
  <si>
    <t>Peso</t>
  </si>
  <si>
    <t>Valor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</si>
  <si>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</si>
  <si>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</si>
  <si>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</si>
  <si>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</si>
  <si>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</si>
  <si>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</si>
  <si>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</si>
  <si>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</si>
  <si>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</si>
  <si>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</si>
  <si>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Cenario</t>
  </si>
  <si>
    <t>Capacidade</t>
  </si>
  <si>
    <t>A</t>
  </si>
  <si>
    <t>B</t>
  </si>
  <si>
    <t>Capacidade (C)</t>
  </si>
  <si>
    <t>Cenário</t>
  </si>
  <si>
    <t>x (0/1)</t>
  </si>
  <si>
    <t>Valor * x</t>
  </si>
  <si>
    <t>Peso * x</t>
  </si>
  <si>
    <t>Valor Total  (objetivo)</t>
  </si>
  <si>
    <t>Peso Total</t>
  </si>
  <si>
    <t>Capacidade usada para Solver (B1)</t>
  </si>
  <si>
    <t>Microsoft Excel 16.0 Relatório de Respostas</t>
  </si>
  <si>
    <t>Planilha: [trabalho.xlsx]Model</t>
  </si>
  <si>
    <t>Relatório Criado: 18/11/2025 19:31:04</t>
  </si>
  <si>
    <t>Resultado: O Solver encontrou uma solução.  Todas as Restrições e condições de adequação foram satisfeitas.</t>
  </si>
  <si>
    <t>Mecanismo do Solver</t>
  </si>
  <si>
    <t>Mecanismo: LP Simplex</t>
  </si>
  <si>
    <t>Tempo da Solução: 0,016 Segundos.</t>
  </si>
  <si>
    <t>Iterações: 8 Subproblemas: 0</t>
  </si>
  <si>
    <t>Opções do Solver</t>
  </si>
  <si>
    <t xml:space="preserve">Tempo Máx. Ilimitado,  Iterações Ilimitado, Precision </t>
  </si>
  <si>
    <t>Subproblemas Máx. Ilimitado, Soluç. Máx. Núm. Inteiro Ilimitado, Tolerância de Número Inteiro %, Assumir Não Negativo</t>
  </si>
  <si>
    <t>Célula do Objetivo (Máx.)</t>
  </si>
  <si>
    <t>Célula</t>
  </si>
  <si>
    <t>Nome</t>
  </si>
  <si>
    <t>Valor Original</t>
  </si>
  <si>
    <t>Valor Final</t>
  </si>
  <si>
    <t>Células Variáveis</t>
  </si>
  <si>
    <t>Número Inteiro</t>
  </si>
  <si>
    <t>Restrições</t>
  </si>
  <si>
    <t>Valor da Célula</t>
  </si>
  <si>
    <t>Fórmula</t>
  </si>
  <si>
    <t>Status</t>
  </si>
  <si>
    <t>Margem de Atraso</t>
  </si>
  <si>
    <t>$B$16</t>
  </si>
  <si>
    <t>Valor Total  (objetivo) Peso</t>
  </si>
  <si>
    <t>$D$5</t>
  </si>
  <si>
    <t>1 x (0/1)</t>
  </si>
  <si>
    <t>$D$6</t>
  </si>
  <si>
    <t>2 x (0/1)</t>
  </si>
  <si>
    <t>$D$7</t>
  </si>
  <si>
    <t>3 x (0/1)</t>
  </si>
  <si>
    <t>$D$8</t>
  </si>
  <si>
    <t>4 x (0/1)</t>
  </si>
  <si>
    <t>$D$9</t>
  </si>
  <si>
    <t>5 x (0/1)</t>
  </si>
  <si>
    <t>$D$10</t>
  </si>
  <si>
    <t>6 x (0/1)</t>
  </si>
  <si>
    <t>$D$11</t>
  </si>
  <si>
    <t>7 x (0/1)</t>
  </si>
  <si>
    <t>$D$12</t>
  </si>
  <si>
    <t>8 x (0/1)</t>
  </si>
  <si>
    <t>$D$13</t>
  </si>
  <si>
    <t>9 x (0/1)</t>
  </si>
  <si>
    <t>$D$14</t>
  </si>
  <si>
    <t>10 x (0/1)</t>
  </si>
  <si>
    <t>$B$17</t>
  </si>
  <si>
    <t>Peso Total Peso</t>
  </si>
  <si>
    <t>$B$17&lt;=$B$1</t>
  </si>
  <si>
    <t>Associação</t>
  </si>
  <si>
    <t>$D$5:$D$14=Binário</t>
  </si>
  <si>
    <t>Binário</t>
  </si>
  <si>
    <t>B (18)</t>
  </si>
  <si>
    <t>Tempo Máx. Ilimitado,  Iterações Ilimitado, Precision 0,000001</t>
  </si>
  <si>
    <t>Subproblemas Máx. Ilimitado, Soluç. Máx. Núm. Inteiro Ilimitado, Tolerância de Número Inteiro 1%, Assumir Não Negativo</t>
  </si>
  <si>
    <t>Relatório Criado: 18/11/2025 19:43:59</t>
  </si>
  <si>
    <t>Resultado: O Solver encontrou uma solução de número inteiro dentro da tolerância. Todas as Restrições foram satisfeitas.</t>
  </si>
  <si>
    <t>Tempo da Solução: 0,047 Segundos.</t>
  </si>
  <si>
    <t>Iterações: 1 Subproblemas: 4</t>
  </si>
  <si>
    <t>Instruções- Abra a guia H17- Defina a célula de capacidade (ex.: B1) com o valor da capacidade desejada ou copie de Data!B15/B16.
- No Excel: Dados -&gt; Solver.
- Configurar Solver:
  - Definir Objetivo: célula com 'Valor Total' (ex.: G1) -&gt; Maximizar.
  - Alterando variáveis: intervalo das células x (ex.: D5:D14).
  - Restrições:
    1. 'Peso Total' (ex.: H1) &lt;= célula 'Capacidade' (ex.: B1).
    2. x são binárias: adicionar restrição x = binário (ou definir como 'int' e adicionar 0&lt;=x&lt;=1, ou usar 'bin').
  - Método: Simplex LP (Solver do Excel aceita PLI se marcar variáveis inteiras/binárias).
- Clique em 'Resolver' e, quando obtiver solução, aceite 'Manter solução do Solver'.
Observação	Se preferir, troque manualmente o valor da capacidade em B1 para testar os cenários A e B (15 e 18).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</si>
</sst>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3" xfId="0" applyFill="1" applyBorder="1" applyAlignment="1"/>
    <xf numFmtId="0" fontId="3" fillId="0" borderId="2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3" xfId="0" applyNumberFormat="1" applyFill="1" applyBorder="1" applyAlignment="1"/>
    <xf numFmtId="0" fontId="0" fillId="0" borderId="4" xfId="0" applyNumberFormat="1" applyFill="1" applyBorder="1" applyAlignment="1"/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FBF6-A727-4948-807A-96E861C67A57}">
  <dimension ref="A1"/>
  <sheetViews>
    <sheetView tabSelected="1" workbookViewId="0">
      <selection activeCell="A9" sqref="A9"/>
    </sheetView>
  </sheetViews>
  <sheetFormatPr defaultRowHeight="15" x14ac:dyDescent="0.25"/>
  <cols>
    <col min="1" max="1" width="116.42578125" customWidth="1"/>
  </cols>
  <sheetData>
    <row r="1" spans="1:1" ht="168.75" customHeight="1" x14ac:dyDescent="0.25">
      <c r="A1" s="9" t="s">
        <v>83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7"/>
  <sheetViews>
    <sheetView workbookViewId="0"/>
  </sheetViews>
  <sheetFormatPr defaultRowHeight="15" x14ac:dyDescent="0.25"/>
  <sheetData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t="s">
        <v>3</v>
      </c>
      <c r="B3">
        <v>3</v>
      </c>
      <c r="C3">
        <v>24</v>
      </c>
    </row>
    <row r="4" spans="1:3" x14ac:dyDescent="0.25">
      <c r="A4" t="s">
        <v>4</v>
      </c>
      <c r="B4">
        <v>2</v>
      </c>
      <c r="C4">
        <v>13</v>
      </c>
    </row>
    <row r="5" spans="1:3" x14ac:dyDescent="0.25">
      <c r="A5" t="s">
        <v>5</v>
      </c>
      <c r="B5">
        <v>4</v>
      </c>
      <c r="C5">
        <v>28</v>
      </c>
    </row>
    <row r="6" spans="1:3" x14ac:dyDescent="0.25">
      <c r="A6" t="s">
        <v>6</v>
      </c>
      <c r="B6">
        <v>1</v>
      </c>
      <c r="C6">
        <v>6</v>
      </c>
    </row>
    <row r="7" spans="1:3" x14ac:dyDescent="0.25">
      <c r="A7" t="s">
        <v>7</v>
      </c>
      <c r="B7">
        <v>5</v>
      </c>
      <c r="C7">
        <v>33</v>
      </c>
    </row>
    <row r="8" spans="1:3" x14ac:dyDescent="0.25">
      <c r="A8" t="s">
        <v>8</v>
      </c>
      <c r="B8">
        <v>2</v>
      </c>
      <c r="C8">
        <v>14</v>
      </c>
    </row>
    <row r="9" spans="1:3" x14ac:dyDescent="0.25">
      <c r="A9" t="s">
        <v>9</v>
      </c>
      <c r="B9">
        <v>6</v>
      </c>
      <c r="C9">
        <v>40</v>
      </c>
    </row>
    <row r="10" spans="1:3" x14ac:dyDescent="0.25">
      <c r="A10" t="s">
        <v>10</v>
      </c>
      <c r="B10">
        <v>3</v>
      </c>
      <c r="C10">
        <v>19</v>
      </c>
    </row>
    <row r="11" spans="1:3" x14ac:dyDescent="0.25">
      <c r="A11" t="s">
        <v>11</v>
      </c>
      <c r="B11">
        <v>7</v>
      </c>
      <c r="C11">
        <v>45</v>
      </c>
    </row>
    <row r="12" spans="1:3" x14ac:dyDescent="0.25">
      <c r="A12" t="s">
        <v>12</v>
      </c>
      <c r="B12">
        <v>4</v>
      </c>
      <c r="C12">
        <v>26</v>
      </c>
    </row>
    <row r="15" spans="1:3" x14ac:dyDescent="0.25">
      <c r="A15" s="1" t="s">
        <v>13</v>
      </c>
      <c r="B15" s="1" t="s">
        <v>14</v>
      </c>
    </row>
    <row r="16" spans="1:3" x14ac:dyDescent="0.25">
      <c r="A16" t="s">
        <v>15</v>
      </c>
      <c r="B16">
        <v>15</v>
      </c>
    </row>
    <row r="17" spans="1:2" x14ac:dyDescent="0.25">
      <c r="A17" t="s">
        <v>16</v>
      </c>
      <c r="B17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pane ySplit="4" topLeftCell="A5" activePane="bottomLeft" state="frozen"/>
      <selection pane="bottomLeft" activeCell="D33" sqref="D33"/>
    </sheetView>
  </sheetViews>
  <sheetFormatPr defaultRowHeight="15" x14ac:dyDescent="0.25"/>
  <cols>
    <col min="1" max="1" width="32" customWidth="1"/>
  </cols>
  <sheetData>
    <row r="1" spans="1:6" x14ac:dyDescent="0.25">
      <c r="A1" t="s">
        <v>17</v>
      </c>
      <c r="B1">
        <v>18</v>
      </c>
    </row>
    <row r="2" spans="1:6" x14ac:dyDescent="0.25">
      <c r="A2" t="s">
        <v>18</v>
      </c>
      <c r="B2" t="s">
        <v>76</v>
      </c>
    </row>
    <row r="4" spans="1:6" x14ac:dyDescent="0.25">
      <c r="A4" s="1" t="s">
        <v>0</v>
      </c>
      <c r="B4" s="1" t="s">
        <v>1</v>
      </c>
      <c r="C4" s="1" t="s">
        <v>2</v>
      </c>
      <c r="D4" s="1" t="s">
        <v>19</v>
      </c>
      <c r="E4" s="1" t="s">
        <v>20</v>
      </c>
      <c r="F4" s="1" t="s">
        <v>21</v>
      </c>
    </row>
    <row r="5" spans="1:6" x14ac:dyDescent="0.25">
      <c r="A5" t="s">
        <v>3</v>
      </c>
      <c r="B5">
        <v>3</v>
      </c>
      <c r="C5">
        <v>24</v>
      </c>
      <c r="D5">
        <v>1</v>
      </c>
      <c r="E5">
        <f>C5*D5</f>
        <v>24</v>
      </c>
      <c r="F5">
        <f>B5*D5</f>
        <v>3</v>
      </c>
    </row>
    <row r="6" spans="1:6" x14ac:dyDescent="0.25">
      <c r="A6" t="s">
        <v>4</v>
      </c>
      <c r="B6">
        <v>2</v>
      </c>
      <c r="C6">
        <v>13</v>
      </c>
      <c r="D6">
        <v>0</v>
      </c>
      <c r="E6">
        <f t="shared" ref="E6:E14" si="0">C6*D6</f>
        <v>0</v>
      </c>
      <c r="F6">
        <f t="shared" ref="F6:F14" si="1">B6*D6</f>
        <v>0</v>
      </c>
    </row>
    <row r="7" spans="1:6" x14ac:dyDescent="0.25">
      <c r="A7" t="s">
        <v>5</v>
      </c>
      <c r="B7">
        <v>4</v>
      </c>
      <c r="C7">
        <v>28</v>
      </c>
      <c r="D7">
        <v>1</v>
      </c>
      <c r="E7">
        <f t="shared" si="0"/>
        <v>28</v>
      </c>
      <c r="F7">
        <f t="shared" si="1"/>
        <v>4</v>
      </c>
    </row>
    <row r="8" spans="1:6" x14ac:dyDescent="0.25">
      <c r="A8" t="s">
        <v>6</v>
      </c>
      <c r="B8">
        <v>1</v>
      </c>
      <c r="C8">
        <v>6</v>
      </c>
      <c r="D8">
        <v>0</v>
      </c>
      <c r="E8">
        <f t="shared" si="0"/>
        <v>0</v>
      </c>
      <c r="F8">
        <f t="shared" si="1"/>
        <v>0</v>
      </c>
    </row>
    <row r="9" spans="1:6" x14ac:dyDescent="0.25">
      <c r="A9" t="s">
        <v>7</v>
      </c>
      <c r="B9">
        <v>5</v>
      </c>
      <c r="C9">
        <v>33</v>
      </c>
      <c r="D9">
        <v>1</v>
      </c>
      <c r="E9">
        <f t="shared" si="0"/>
        <v>33</v>
      </c>
      <c r="F9">
        <f t="shared" si="1"/>
        <v>5</v>
      </c>
    </row>
    <row r="10" spans="1:6" x14ac:dyDescent="0.25">
      <c r="A10" t="s">
        <v>8</v>
      </c>
      <c r="B10">
        <v>2</v>
      </c>
      <c r="C10">
        <v>14</v>
      </c>
      <c r="D10">
        <v>0</v>
      </c>
      <c r="E10">
        <f t="shared" si="0"/>
        <v>0</v>
      </c>
      <c r="F10">
        <f t="shared" si="1"/>
        <v>0</v>
      </c>
    </row>
    <row r="11" spans="1:6" x14ac:dyDescent="0.25">
      <c r="A11" t="s">
        <v>9</v>
      </c>
      <c r="B11">
        <v>6</v>
      </c>
      <c r="C11">
        <v>40</v>
      </c>
      <c r="D11">
        <v>1</v>
      </c>
      <c r="E11">
        <f t="shared" si="0"/>
        <v>40</v>
      </c>
      <c r="F11">
        <f t="shared" si="1"/>
        <v>6</v>
      </c>
    </row>
    <row r="12" spans="1:6" x14ac:dyDescent="0.25">
      <c r="A12" t="s">
        <v>10</v>
      </c>
      <c r="B12">
        <v>3</v>
      </c>
      <c r="C12">
        <v>19</v>
      </c>
      <c r="D12">
        <v>0</v>
      </c>
      <c r="E12">
        <f t="shared" si="0"/>
        <v>0</v>
      </c>
      <c r="F12">
        <f t="shared" si="1"/>
        <v>0</v>
      </c>
    </row>
    <row r="13" spans="1:6" x14ac:dyDescent="0.25">
      <c r="A13" t="s">
        <v>11</v>
      </c>
      <c r="B13">
        <v>7</v>
      </c>
      <c r="C13">
        <v>45</v>
      </c>
      <c r="D13">
        <v>0</v>
      </c>
      <c r="E13">
        <f t="shared" si="0"/>
        <v>0</v>
      </c>
      <c r="F13">
        <f t="shared" si="1"/>
        <v>0</v>
      </c>
    </row>
    <row r="14" spans="1:6" x14ac:dyDescent="0.25">
      <c r="A14" t="s">
        <v>12</v>
      </c>
      <c r="B14">
        <v>4</v>
      </c>
      <c r="C14">
        <v>26</v>
      </c>
      <c r="D14">
        <v>0</v>
      </c>
      <c r="E14">
        <f t="shared" si="0"/>
        <v>0</v>
      </c>
      <c r="F14">
        <f t="shared" si="1"/>
        <v>0</v>
      </c>
    </row>
    <row r="16" spans="1:6" x14ac:dyDescent="0.25">
      <c r="A16" t="s">
        <v>22</v>
      </c>
      <c r="B16">
        <f>SUM(E5:E14)</f>
        <v>125</v>
      </c>
    </row>
    <row r="17" spans="1:11" x14ac:dyDescent="0.25">
      <c r="A17" t="s">
        <v>23</v>
      </c>
      <c r="B17">
        <f>SUM(F5:F14)</f>
        <v>18</v>
      </c>
    </row>
    <row r="19" spans="1:11" x14ac:dyDescent="0.25">
      <c r="A19" t="s">
        <v>24</v>
      </c>
      <c r="B19">
        <f>B1</f>
        <v>18</v>
      </c>
    </row>
    <row r="20" spans="1:11" x14ac:dyDescent="0.25">
      <c r="K20" s="8"/>
    </row>
  </sheetData>
  <dataValidations count="1">
    <dataValidation type="list" showInputMessage="1" showErrorMessage="1" sqref="D5:D14" xr:uid="{00000000-0002-0000-0100-000000000000}">
      <formula1>"0,1"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9613-536A-464D-86BE-FEDF650CE365}">
  <dimension ref="A1:K36"/>
  <sheetViews>
    <sheetView showGridLines="0" topLeftCell="A4" workbookViewId="0">
      <selection activeCell="J18" sqref="J18"/>
    </sheetView>
  </sheetViews>
  <sheetFormatPr defaultRowHeight="15" x14ac:dyDescent="0.25"/>
  <cols>
    <col min="1" max="1" width="2.28515625" customWidth="1"/>
    <col min="2" max="2" width="18.7109375" bestFit="1" customWidth="1"/>
    <col min="3" max="3" width="25.5703125" bestFit="1" customWidth="1"/>
    <col min="4" max="4" width="14.42578125" bestFit="1" customWidth="1"/>
    <col min="5" max="5" width="12.285156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25</v>
      </c>
    </row>
    <row r="2" spans="1:5" x14ac:dyDescent="0.25">
      <c r="A2" s="2" t="s">
        <v>26</v>
      </c>
    </row>
    <row r="3" spans="1:5" x14ac:dyDescent="0.25">
      <c r="A3" s="2" t="s">
        <v>27</v>
      </c>
    </row>
    <row r="4" spans="1:5" x14ac:dyDescent="0.25">
      <c r="A4" s="2" t="s">
        <v>28</v>
      </c>
    </row>
    <row r="5" spans="1:5" x14ac:dyDescent="0.25">
      <c r="A5" s="2" t="s">
        <v>29</v>
      </c>
    </row>
    <row r="6" spans="1:5" x14ac:dyDescent="0.25">
      <c r="A6" s="2"/>
      <c r="B6" t="s">
        <v>30</v>
      </c>
    </row>
    <row r="7" spans="1:5" x14ac:dyDescent="0.25">
      <c r="A7" s="2"/>
      <c r="B7" t="s">
        <v>31</v>
      </c>
    </row>
    <row r="8" spans="1:5" x14ac:dyDescent="0.25">
      <c r="A8" s="2"/>
      <c r="B8" t="s">
        <v>32</v>
      </c>
    </row>
    <row r="9" spans="1:5" x14ac:dyDescent="0.25">
      <c r="A9" s="2" t="s">
        <v>33</v>
      </c>
    </row>
    <row r="10" spans="1:5" x14ac:dyDescent="0.25">
      <c r="B10" t="s">
        <v>34</v>
      </c>
    </row>
    <row r="11" spans="1:5" x14ac:dyDescent="0.25">
      <c r="B11" t="s">
        <v>35</v>
      </c>
    </row>
    <row r="14" spans="1:5" ht="15.75" thickBot="1" x14ac:dyDescent="0.3">
      <c r="A14" t="s">
        <v>36</v>
      </c>
    </row>
    <row r="15" spans="1:5" ht="15.75" thickBot="1" x14ac:dyDescent="0.3">
      <c r="B15" s="4" t="s">
        <v>37</v>
      </c>
      <c r="C15" s="4" t="s">
        <v>38</v>
      </c>
      <c r="D15" s="4" t="s">
        <v>39</v>
      </c>
      <c r="E15" s="4" t="s">
        <v>40</v>
      </c>
    </row>
    <row r="16" spans="1:5" ht="15.75" thickBot="1" x14ac:dyDescent="0.3">
      <c r="B16" s="3" t="s">
        <v>48</v>
      </c>
      <c r="C16" s="3" t="s">
        <v>49</v>
      </c>
      <c r="D16" s="6">
        <v>0</v>
      </c>
      <c r="E16" s="6">
        <v>106</v>
      </c>
    </row>
    <row r="19" spans="1:11" ht="15.75" thickBot="1" x14ac:dyDescent="0.3">
      <c r="A19" t="s">
        <v>41</v>
      </c>
    </row>
    <row r="20" spans="1:11" ht="15.75" thickBot="1" x14ac:dyDescent="0.3">
      <c r="B20" s="4" t="s">
        <v>37</v>
      </c>
      <c r="C20" s="4" t="s">
        <v>38</v>
      </c>
      <c r="D20" s="4" t="s">
        <v>39</v>
      </c>
      <c r="E20" s="4" t="s">
        <v>40</v>
      </c>
      <c r="F20" s="4" t="s">
        <v>42</v>
      </c>
    </row>
    <row r="21" spans="1:11" x14ac:dyDescent="0.25">
      <c r="B21" s="5" t="s">
        <v>50</v>
      </c>
      <c r="C21" s="5" t="s">
        <v>51</v>
      </c>
      <c r="D21" s="7">
        <v>0</v>
      </c>
      <c r="E21" s="7">
        <v>1</v>
      </c>
      <c r="F21" s="5" t="s">
        <v>75</v>
      </c>
      <c r="K21" s="8"/>
    </row>
    <row r="22" spans="1:11" x14ac:dyDescent="0.25">
      <c r="B22" s="5" t="s">
        <v>52</v>
      </c>
      <c r="C22" s="5" t="s">
        <v>53</v>
      </c>
      <c r="D22" s="7">
        <v>0</v>
      </c>
      <c r="E22" s="7">
        <v>0</v>
      </c>
      <c r="F22" s="5" t="s">
        <v>75</v>
      </c>
    </row>
    <row r="23" spans="1:11" x14ac:dyDescent="0.25">
      <c r="B23" s="5" t="s">
        <v>54</v>
      </c>
      <c r="C23" s="5" t="s">
        <v>55</v>
      </c>
      <c r="D23" s="7">
        <v>0</v>
      </c>
      <c r="E23" s="7">
        <v>1</v>
      </c>
      <c r="F23" s="5" t="s">
        <v>75</v>
      </c>
    </row>
    <row r="24" spans="1:11" x14ac:dyDescent="0.25">
      <c r="B24" s="5" t="s">
        <v>56</v>
      </c>
      <c r="C24" s="5" t="s">
        <v>57</v>
      </c>
      <c r="D24" s="7">
        <v>0</v>
      </c>
      <c r="E24" s="7">
        <v>0</v>
      </c>
      <c r="F24" s="5" t="s">
        <v>75</v>
      </c>
    </row>
    <row r="25" spans="1:11" x14ac:dyDescent="0.25">
      <c r="B25" s="5" t="s">
        <v>58</v>
      </c>
      <c r="C25" s="5" t="s">
        <v>59</v>
      </c>
      <c r="D25" s="7">
        <v>0</v>
      </c>
      <c r="E25" s="7">
        <v>0</v>
      </c>
      <c r="F25" s="5" t="s">
        <v>75</v>
      </c>
    </row>
    <row r="26" spans="1:11" x14ac:dyDescent="0.25">
      <c r="B26" s="5" t="s">
        <v>60</v>
      </c>
      <c r="C26" s="5" t="s">
        <v>61</v>
      </c>
      <c r="D26" s="7">
        <v>0</v>
      </c>
      <c r="E26" s="7">
        <v>1</v>
      </c>
      <c r="F26" s="5" t="s">
        <v>75</v>
      </c>
    </row>
    <row r="27" spans="1:11" x14ac:dyDescent="0.25">
      <c r="B27" s="5" t="s">
        <v>62</v>
      </c>
      <c r="C27" s="5" t="s">
        <v>63</v>
      </c>
      <c r="D27" s="7">
        <v>0</v>
      </c>
      <c r="E27" s="7">
        <v>1</v>
      </c>
      <c r="F27" s="5" t="s">
        <v>75</v>
      </c>
    </row>
    <row r="28" spans="1:11" x14ac:dyDescent="0.25">
      <c r="B28" s="5" t="s">
        <v>64</v>
      </c>
      <c r="C28" s="5" t="s">
        <v>65</v>
      </c>
      <c r="D28" s="7">
        <v>0</v>
      </c>
      <c r="E28" s="7">
        <v>0</v>
      </c>
      <c r="F28" s="5" t="s">
        <v>75</v>
      </c>
    </row>
    <row r="29" spans="1:11" x14ac:dyDescent="0.25">
      <c r="B29" s="5" t="s">
        <v>66</v>
      </c>
      <c r="C29" s="5" t="s">
        <v>67</v>
      </c>
      <c r="D29" s="7">
        <v>0</v>
      </c>
      <c r="E29" s="7">
        <v>0</v>
      </c>
      <c r="F29" s="5" t="s">
        <v>75</v>
      </c>
    </row>
    <row r="30" spans="1:11" ht="15.75" thickBot="1" x14ac:dyDescent="0.3">
      <c r="B30" s="3" t="s">
        <v>68</v>
      </c>
      <c r="C30" s="3" t="s">
        <v>69</v>
      </c>
      <c r="D30" s="6">
        <v>0</v>
      </c>
      <c r="E30" s="6">
        <v>0</v>
      </c>
      <c r="F30" s="3" t="s">
        <v>75</v>
      </c>
    </row>
    <row r="33" spans="1:7" ht="15.75" thickBot="1" x14ac:dyDescent="0.3">
      <c r="A33" t="s">
        <v>43</v>
      </c>
    </row>
    <row r="34" spans="1:7" ht="15.75" thickBot="1" x14ac:dyDescent="0.3">
      <c r="B34" s="4" t="s">
        <v>37</v>
      </c>
      <c r="C34" s="4" t="s">
        <v>38</v>
      </c>
      <c r="D34" s="4" t="s">
        <v>44</v>
      </c>
      <c r="E34" s="4" t="s">
        <v>45</v>
      </c>
      <c r="F34" s="4" t="s">
        <v>46</v>
      </c>
      <c r="G34" s="4" t="s">
        <v>47</v>
      </c>
    </row>
    <row r="35" spans="1:7" x14ac:dyDescent="0.25">
      <c r="B35" s="5" t="s">
        <v>70</v>
      </c>
      <c r="C35" s="5" t="s">
        <v>71</v>
      </c>
      <c r="D35" s="7">
        <v>15</v>
      </c>
      <c r="E35" s="5" t="s">
        <v>72</v>
      </c>
      <c r="F35" s="5" t="s">
        <v>73</v>
      </c>
      <c r="G35" s="5">
        <v>0</v>
      </c>
    </row>
    <row r="36" spans="1:7" ht="15.75" thickBot="1" x14ac:dyDescent="0.3">
      <c r="B36" s="3" t="s">
        <v>74</v>
      </c>
      <c r="C36" s="3"/>
      <c r="D36" s="3"/>
      <c r="E36" s="3"/>
      <c r="F36" s="3"/>
      <c r="G36" s="3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C174-1610-4904-B0B5-4560A3F21B6A}">
  <dimension ref="A1:G36"/>
  <sheetViews>
    <sheetView showGridLines="0" topLeftCell="A10" workbookViewId="0">
      <selection activeCell="M22" sqref="M22"/>
    </sheetView>
  </sheetViews>
  <sheetFormatPr defaultRowHeight="15" x14ac:dyDescent="0.25"/>
  <cols>
    <col min="1" max="1" width="2.28515625" customWidth="1"/>
    <col min="2" max="2" width="18.7109375" bestFit="1" customWidth="1"/>
    <col min="3" max="3" width="25.5703125" bestFit="1" customWidth="1"/>
    <col min="4" max="4" width="14.42578125" bestFit="1" customWidth="1"/>
    <col min="5" max="5" width="12.28515625" bestFit="1" customWidth="1"/>
    <col min="6" max="6" width="14.85546875" bestFit="1" customWidth="1"/>
    <col min="7" max="7" width="17.5703125" bestFit="1" customWidth="1"/>
  </cols>
  <sheetData>
    <row r="1" spans="1:5" x14ac:dyDescent="0.25">
      <c r="A1" s="2" t="s">
        <v>25</v>
      </c>
    </row>
    <row r="2" spans="1:5" x14ac:dyDescent="0.25">
      <c r="A2" s="2" t="s">
        <v>26</v>
      </c>
    </row>
    <row r="3" spans="1:5" x14ac:dyDescent="0.25">
      <c r="A3" s="2" t="s">
        <v>79</v>
      </c>
    </row>
    <row r="4" spans="1:5" x14ac:dyDescent="0.25">
      <c r="A4" s="2" t="s">
        <v>80</v>
      </c>
    </row>
    <row r="5" spans="1:5" x14ac:dyDescent="0.25">
      <c r="A5" s="2" t="s">
        <v>29</v>
      </c>
    </row>
    <row r="6" spans="1:5" x14ac:dyDescent="0.25">
      <c r="A6" s="2"/>
      <c r="B6" t="s">
        <v>30</v>
      </c>
    </row>
    <row r="7" spans="1:5" x14ac:dyDescent="0.25">
      <c r="A7" s="2"/>
      <c r="B7" t="s">
        <v>81</v>
      </c>
    </row>
    <row r="8" spans="1:5" x14ac:dyDescent="0.25">
      <c r="A8" s="2"/>
      <c r="B8" t="s">
        <v>82</v>
      </c>
    </row>
    <row r="9" spans="1:5" x14ac:dyDescent="0.25">
      <c r="A9" s="2" t="s">
        <v>33</v>
      </c>
    </row>
    <row r="10" spans="1:5" x14ac:dyDescent="0.25">
      <c r="B10" t="s">
        <v>77</v>
      </c>
    </row>
    <row r="11" spans="1:5" x14ac:dyDescent="0.25">
      <c r="B11" t="s">
        <v>78</v>
      </c>
    </row>
    <row r="14" spans="1:5" ht="15.75" thickBot="1" x14ac:dyDescent="0.3">
      <c r="A14" t="s">
        <v>36</v>
      </c>
    </row>
    <row r="15" spans="1:5" ht="15.75" thickBot="1" x14ac:dyDescent="0.3">
      <c r="B15" s="4" t="s">
        <v>37</v>
      </c>
      <c r="C15" s="4" t="s">
        <v>38</v>
      </c>
      <c r="D15" s="4" t="s">
        <v>39</v>
      </c>
      <c r="E15" s="4" t="s">
        <v>40</v>
      </c>
    </row>
    <row r="16" spans="1:5" ht="15.75" thickBot="1" x14ac:dyDescent="0.3">
      <c r="B16" s="3" t="s">
        <v>48</v>
      </c>
      <c r="C16" s="3" t="s">
        <v>49</v>
      </c>
      <c r="D16" s="6">
        <v>0</v>
      </c>
      <c r="E16" s="6">
        <v>125</v>
      </c>
    </row>
    <row r="19" spans="1:6" ht="15.75" thickBot="1" x14ac:dyDescent="0.3">
      <c r="A19" t="s">
        <v>41</v>
      </c>
    </row>
    <row r="20" spans="1:6" ht="15.75" thickBot="1" x14ac:dyDescent="0.3">
      <c r="B20" s="4" t="s">
        <v>37</v>
      </c>
      <c r="C20" s="4" t="s">
        <v>38</v>
      </c>
      <c r="D20" s="4" t="s">
        <v>39</v>
      </c>
      <c r="E20" s="4" t="s">
        <v>40</v>
      </c>
      <c r="F20" s="4" t="s">
        <v>42</v>
      </c>
    </row>
    <row r="21" spans="1:6" x14ac:dyDescent="0.25">
      <c r="B21" s="5" t="s">
        <v>50</v>
      </c>
      <c r="C21" s="5" t="s">
        <v>51</v>
      </c>
      <c r="D21" s="7">
        <v>0</v>
      </c>
      <c r="E21" s="7">
        <v>1</v>
      </c>
      <c r="F21" s="5" t="s">
        <v>75</v>
      </c>
    </row>
    <row r="22" spans="1:6" x14ac:dyDescent="0.25">
      <c r="B22" s="5" t="s">
        <v>52</v>
      </c>
      <c r="C22" s="5" t="s">
        <v>53</v>
      </c>
      <c r="D22" s="7">
        <v>0</v>
      </c>
      <c r="E22" s="7">
        <v>0</v>
      </c>
      <c r="F22" s="5" t="s">
        <v>75</v>
      </c>
    </row>
    <row r="23" spans="1:6" x14ac:dyDescent="0.25">
      <c r="B23" s="5" t="s">
        <v>54</v>
      </c>
      <c r="C23" s="5" t="s">
        <v>55</v>
      </c>
      <c r="D23" s="7">
        <v>0</v>
      </c>
      <c r="E23" s="7">
        <v>1</v>
      </c>
      <c r="F23" s="5" t="s">
        <v>75</v>
      </c>
    </row>
    <row r="24" spans="1:6" x14ac:dyDescent="0.25">
      <c r="B24" s="5" t="s">
        <v>56</v>
      </c>
      <c r="C24" s="5" t="s">
        <v>57</v>
      </c>
      <c r="D24" s="7">
        <v>0</v>
      </c>
      <c r="E24" s="7">
        <v>0</v>
      </c>
      <c r="F24" s="5" t="s">
        <v>75</v>
      </c>
    </row>
    <row r="25" spans="1:6" x14ac:dyDescent="0.25">
      <c r="B25" s="5" t="s">
        <v>58</v>
      </c>
      <c r="C25" s="5" t="s">
        <v>59</v>
      </c>
      <c r="D25" s="7">
        <v>0</v>
      </c>
      <c r="E25" s="7">
        <v>1</v>
      </c>
      <c r="F25" s="5" t="s">
        <v>75</v>
      </c>
    </row>
    <row r="26" spans="1:6" x14ac:dyDescent="0.25">
      <c r="B26" s="5" t="s">
        <v>60</v>
      </c>
      <c r="C26" s="5" t="s">
        <v>61</v>
      </c>
      <c r="D26" s="7">
        <v>0</v>
      </c>
      <c r="E26" s="7">
        <v>0</v>
      </c>
      <c r="F26" s="5" t="s">
        <v>75</v>
      </c>
    </row>
    <row r="27" spans="1:6" x14ac:dyDescent="0.25">
      <c r="B27" s="5" t="s">
        <v>62</v>
      </c>
      <c r="C27" s="5" t="s">
        <v>63</v>
      </c>
      <c r="D27" s="7">
        <v>0</v>
      </c>
      <c r="E27" s="7">
        <v>1</v>
      </c>
      <c r="F27" s="5" t="s">
        <v>75</v>
      </c>
    </row>
    <row r="28" spans="1:6" x14ac:dyDescent="0.25">
      <c r="B28" s="5" t="s">
        <v>64</v>
      </c>
      <c r="C28" s="5" t="s">
        <v>65</v>
      </c>
      <c r="D28" s="7">
        <v>0</v>
      </c>
      <c r="E28" s="7">
        <v>0</v>
      </c>
      <c r="F28" s="5" t="s">
        <v>75</v>
      </c>
    </row>
    <row r="29" spans="1:6" x14ac:dyDescent="0.25">
      <c r="B29" s="5" t="s">
        <v>66</v>
      </c>
      <c r="C29" s="5" t="s">
        <v>67</v>
      </c>
      <c r="D29" s="7">
        <v>0</v>
      </c>
      <c r="E29" s="7">
        <v>0</v>
      </c>
      <c r="F29" s="5" t="s">
        <v>75</v>
      </c>
    </row>
    <row r="30" spans="1:6" ht="15.75" thickBot="1" x14ac:dyDescent="0.3">
      <c r="B30" s="3" t="s">
        <v>68</v>
      </c>
      <c r="C30" s="3" t="s">
        <v>69</v>
      </c>
      <c r="D30" s="6">
        <v>0</v>
      </c>
      <c r="E30" s="6">
        <v>0</v>
      </c>
      <c r="F30" s="3" t="s">
        <v>75</v>
      </c>
    </row>
    <row r="33" spans="1:7" ht="15.75" thickBot="1" x14ac:dyDescent="0.3">
      <c r="A33" t="s">
        <v>43</v>
      </c>
    </row>
    <row r="34" spans="1:7" ht="15.75" thickBot="1" x14ac:dyDescent="0.3">
      <c r="B34" s="4" t="s">
        <v>37</v>
      </c>
      <c r="C34" s="4" t="s">
        <v>38</v>
      </c>
      <c r="D34" s="4" t="s">
        <v>44</v>
      </c>
      <c r="E34" s="4" t="s">
        <v>45</v>
      </c>
      <c r="F34" s="4" t="s">
        <v>46</v>
      </c>
      <c r="G34" s="4" t="s">
        <v>47</v>
      </c>
    </row>
    <row r="35" spans="1:7" x14ac:dyDescent="0.25">
      <c r="B35" s="5" t="s">
        <v>70</v>
      </c>
      <c r="C35" s="5" t="s">
        <v>71</v>
      </c>
      <c r="D35" s="7">
        <v>18</v>
      </c>
      <c r="E35" s="5" t="s">
        <v>72</v>
      </c>
      <c r="F35" s="5" t="s">
        <v>73</v>
      </c>
      <c r="G35" s="5">
        <v>0</v>
      </c>
    </row>
    <row r="36" spans="1:7" ht="15.75" thickBot="1" x14ac:dyDescent="0.3">
      <c r="B36" s="3" t="s">
        <v>74</v>
      </c>
      <c r="C36" s="3"/>
      <c r="D36" s="3"/>
      <c r="E36" s="3"/>
      <c r="F36" s="3"/>
      <c r="G36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Instruções</vt:lpstr>
      <vt:lpstr>Dados</vt:lpstr>
      <vt:lpstr>Modelagem</vt:lpstr>
      <vt:lpstr>Relatório de Respostas - Caso A</vt:lpstr>
      <vt:lpstr>Relatório de Respostas - Caso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FRANCISCO STAINO SANTAYANA</cp:lastModifiedBy>
  <dcterms:created xsi:type="dcterms:W3CDTF">2025-11-18T22:14:15Z</dcterms:created>
  <dcterms:modified xsi:type="dcterms:W3CDTF">2025-11-18T23:09:09Z</dcterms:modified>
</cp:coreProperties>
</file>